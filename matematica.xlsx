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verton\Tec-Desenvolvimento-Sistema\"/>
    </mc:Choice>
  </mc:AlternateContent>
  <xr:revisionPtr revIDLastSave="0" documentId="13_ncr:1_{46AECBFE-765A-4C2B-BA83-A248D685B6A7}" xr6:coauthVersionLast="36" xr6:coauthVersionMax="36" xr10:uidLastSave="{00000000-0000-0000-0000-000000000000}"/>
  <bookViews>
    <workbookView xWindow="0" yWindow="0" windowWidth="17970" windowHeight="5865" xr2:uid="{00000000-000D-0000-FFFF-FFFF00000000}"/>
  </bookViews>
  <sheets>
    <sheet name="matemática" sheetId="1" r:id="rId1"/>
    <sheet name="Situação" sheetId="2" r:id="rId2"/>
    <sheet name="Resultado" sheetId="3" r:id="rId3"/>
  </sheets>
  <calcPr calcId="191029"/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4" i="1"/>
  <c r="I5" i="1"/>
  <c r="I6" i="1"/>
  <c r="I7" i="1"/>
  <c r="I8" i="1"/>
  <c r="I9" i="1"/>
  <c r="I10" i="1"/>
  <c r="I11" i="1"/>
  <c r="I12" i="1"/>
  <c r="I13" i="1"/>
  <c r="C23" i="1"/>
  <c r="C22" i="1"/>
  <c r="C20" i="1"/>
  <c r="C19" i="1"/>
  <c r="D17" i="1"/>
  <c r="E17" i="1"/>
  <c r="F17" i="1"/>
  <c r="C17" i="1"/>
  <c r="D16" i="1"/>
  <c r="E16" i="1"/>
  <c r="F16" i="1"/>
  <c r="C16" i="1"/>
  <c r="G5" i="1"/>
  <c r="G6" i="1"/>
  <c r="G7" i="1"/>
  <c r="G8" i="1"/>
  <c r="G9" i="1"/>
  <c r="G10" i="1"/>
  <c r="G11" i="1"/>
  <c r="G12" i="1"/>
  <c r="G13" i="1"/>
  <c r="G4" i="1"/>
  <c r="C8" i="3" l="1"/>
  <c r="B8" i="3"/>
  <c r="A8" i="3"/>
  <c r="C11" i="3"/>
  <c r="C9" i="3"/>
  <c r="C7" i="3"/>
  <c r="C6" i="3"/>
  <c r="C3" i="3"/>
  <c r="A5" i="3" l="1"/>
  <c r="A9" i="3"/>
  <c r="B5" i="3"/>
  <c r="B9" i="3"/>
  <c r="C4" i="3"/>
  <c r="C5" i="3"/>
  <c r="A4" i="3"/>
  <c r="B4" i="3"/>
  <c r="A2" i="3"/>
  <c r="A6" i="3"/>
  <c r="A10" i="3"/>
  <c r="B2" i="3"/>
  <c r="B6" i="3"/>
  <c r="B10" i="3"/>
  <c r="C2" i="3"/>
  <c r="C10" i="3"/>
  <c r="A3" i="3"/>
  <c r="A7" i="3"/>
  <c r="A11" i="3"/>
  <c r="B3" i="3"/>
  <c r="B7" i="3"/>
  <c r="B11" i="3"/>
</calcChain>
</file>

<file path=xl/sharedStrings.xml><?xml version="1.0" encoding="utf-8"?>
<sst xmlns="http://schemas.openxmlformats.org/spreadsheetml/2006/main" count="44" uniqueCount="40">
  <si>
    <t>Matemática</t>
  </si>
  <si>
    <t>se(e)</t>
  </si>
  <si>
    <t>se(ou)</t>
  </si>
  <si>
    <t>Número</t>
  </si>
  <si>
    <t>Nome</t>
  </si>
  <si>
    <t>1º Bim</t>
  </si>
  <si>
    <t>2° Bim</t>
  </si>
  <si>
    <t>3º Bim</t>
  </si>
  <si>
    <t>4 Bim</t>
  </si>
  <si>
    <t>Média Final</t>
  </si>
  <si>
    <t>Frequência</t>
  </si>
  <si>
    <t>Resultado</t>
  </si>
  <si>
    <t>Ana Pereira de Arruda</t>
  </si>
  <si>
    <t>Antônio Oliveira</t>
  </si>
  <si>
    <t>Carlos Alberto Sobrinho</t>
  </si>
  <si>
    <t>Helena de Moraes</t>
  </si>
  <si>
    <t>João Macedo</t>
  </si>
  <si>
    <t>José Luiz Tavares</t>
  </si>
  <si>
    <t>Marcelo Lima</t>
  </si>
  <si>
    <t>Márcia de Sousa</t>
  </si>
  <si>
    <t>Rosa Ferreira Porto</t>
  </si>
  <si>
    <t>Sandra de Albuquerque</t>
  </si>
  <si>
    <t>Maior Nota Bimestral:</t>
  </si>
  <si>
    <t>Menor Nota Bimestral:</t>
  </si>
  <si>
    <t>Maior Nota Geral:</t>
  </si>
  <si>
    <t>Menor Nota Geral:</t>
  </si>
  <si>
    <t>Maior Média:</t>
  </si>
  <si>
    <t>Menor Média:</t>
  </si>
  <si>
    <t>situação 1</t>
  </si>
  <si>
    <t>situação 2</t>
  </si>
  <si>
    <t>situação 3</t>
  </si>
  <si>
    <t>Aprovado</t>
  </si>
  <si>
    <t>Reprovado</t>
  </si>
  <si>
    <t>Recuperação</t>
  </si>
  <si>
    <t>resutado 1</t>
  </si>
  <si>
    <t>resultado 2</t>
  </si>
  <si>
    <t xml:space="preserve">resutado 3 </t>
  </si>
  <si>
    <t>se(média)</t>
  </si>
  <si>
    <t>se(frequência)</t>
  </si>
  <si>
    <t>se aninhado(média)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</si>
</sst>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b/>
      <sz val="10"/>
      <color rgb="FFFFFFFF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3" borderId="4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/>
    <xf numFmtId="2" fontId="3" fillId="0" borderId="5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1" fillId="4" borderId="6" xfId="0" applyFont="1" applyFill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M1000"/>
  <sheetViews>
    <sheetView tabSelected="1" topLeftCell="G1" zoomScale="250" zoomScaleNormal="250" workbookViewId="0">
      <selection activeCell="G6" sqref="G6"/>
    </sheetView>
  </sheetViews>
  <sheetFormatPr defaultColWidth="12.625" defaultRowHeight="15" customHeight="1" x14ac:dyDescent="0.2"/>
  <cols>
    <col min="1" max="1" width="7.625" customWidth="1"/>
    <col min="2" max="2" width="19.25" customWidth="1"/>
    <col min="3" max="6" width="7.625" customWidth="1"/>
    <col min="7" max="7" width="11" customWidth="1"/>
    <col min="8" max="8" width="9.875" customWidth="1"/>
    <col min="9" max="9" width="12" customWidth="1"/>
    <col min="10" max="10" width="15.875" customWidth="1"/>
    <col min="11" max="11" width="21.25" customWidth="1"/>
    <col min="12" max="12" width="17.75" customWidth="1"/>
    <col min="13" max="13" width="13.25" customWidth="1"/>
  </cols>
  <sheetData>
    <row r="1" spans="1:13" ht="14.25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4.25" customHeight="1" x14ac:dyDescent="0.25">
      <c r="A2" s="1"/>
      <c r="B2" s="1"/>
      <c r="C2" s="1"/>
      <c r="D2" s="1"/>
      <c r="E2" s="1"/>
      <c r="F2" s="1"/>
      <c r="G2" s="1"/>
      <c r="H2" s="1"/>
      <c r="I2" s="2" t="s">
        <v>37</v>
      </c>
      <c r="J2" s="2" t="s">
        <v>38</v>
      </c>
      <c r="K2" s="2" t="s">
        <v>39</v>
      </c>
      <c r="L2" s="2" t="s">
        <v>1</v>
      </c>
      <c r="M2" s="3" t="s">
        <v>2</v>
      </c>
    </row>
    <row r="3" spans="1:13" ht="14.25" customHeight="1" x14ac:dyDescent="0.2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11</v>
      </c>
      <c r="K3" s="4" t="s">
        <v>11</v>
      </c>
      <c r="L3" s="5" t="s">
        <v>11</v>
      </c>
      <c r="M3" s="5" t="s">
        <v>11</v>
      </c>
    </row>
    <row r="4" spans="1:13" ht="14.25" customHeight="1" x14ac:dyDescent="0.25">
      <c r="A4" s="6">
        <v>1</v>
      </c>
      <c r="B4" s="7" t="s">
        <v>12</v>
      </c>
      <c r="C4" s="8">
        <v>8</v>
      </c>
      <c r="D4" s="8">
        <v>7.3</v>
      </c>
      <c r="E4" s="8">
        <v>8.1</v>
      </c>
      <c r="F4" s="8">
        <v>6.7</v>
      </c>
      <c r="G4" s="9">
        <f>AVERAGE(C4:F4)</f>
        <v>7.5249999999999995</v>
      </c>
      <c r="H4" s="10">
        <v>0.7</v>
      </c>
      <c r="I4" s="9" t="str">
        <f>IF(G4&lt;6,"reprovado","aprovado")</f>
        <v>aprovado</v>
      </c>
      <c r="J4" s="9" t="str">
        <f>IF(H4&gt;=75%,"ok","nok")</f>
        <v>nok</v>
      </c>
      <c r="K4" s="9" t="b">
        <f>AND(G4&gt;=6,H4&gt;=75%)</f>
        <v>0</v>
      </c>
      <c r="L4" s="9" t="b">
        <f>OR(G4&gt;=6,H4&gt;=75%)</f>
        <v>1</v>
      </c>
      <c r="M4" s="9"/>
    </row>
    <row r="5" spans="1:13" ht="14.25" customHeight="1" x14ac:dyDescent="0.25">
      <c r="A5" s="6">
        <v>2</v>
      </c>
      <c r="B5" s="7" t="s">
        <v>13</v>
      </c>
      <c r="C5" s="8">
        <v>5.2</v>
      </c>
      <c r="D5" s="8">
        <v>5</v>
      </c>
      <c r="E5" s="8">
        <v>4.8</v>
      </c>
      <c r="F5" s="8">
        <v>5</v>
      </c>
      <c r="G5" s="9">
        <f t="shared" ref="G5:G13" si="0">AVERAGE(C5:F5)</f>
        <v>5</v>
      </c>
      <c r="H5" s="10">
        <v>0.95</v>
      </c>
      <c r="I5" s="9" t="str">
        <f t="shared" ref="I5:I13" si="1">IF(G5&lt;6,"reprovado","aprovado")</f>
        <v>reprovado</v>
      </c>
      <c r="J5" s="9" t="str">
        <f t="shared" ref="J5:J13" si="2">IF(H5&gt;=75%,"ok","nok")</f>
        <v>ok</v>
      </c>
      <c r="K5" s="9" t="b">
        <f t="shared" ref="K5:K13" si="3">AND(G5&gt;=6,H5&gt;=75%)</f>
        <v>0</v>
      </c>
      <c r="L5" s="9" t="b">
        <f t="shared" ref="L5:L13" si="4">OR(G5&gt;=6,H5&gt;=75%)</f>
        <v>1</v>
      </c>
      <c r="M5" s="9"/>
    </row>
    <row r="6" spans="1:13" ht="14.25" customHeight="1" x14ac:dyDescent="0.25">
      <c r="A6" s="6">
        <v>3</v>
      </c>
      <c r="B6" s="7" t="s">
        <v>14</v>
      </c>
      <c r="C6" s="8">
        <v>6.8</v>
      </c>
      <c r="D6" s="8">
        <v>5.7</v>
      </c>
      <c r="E6" s="8">
        <v>5.2</v>
      </c>
      <c r="F6" s="8">
        <v>4</v>
      </c>
      <c r="G6" s="9">
        <f t="shared" si="0"/>
        <v>5.4249999999999998</v>
      </c>
      <c r="H6" s="10">
        <v>0.54</v>
      </c>
      <c r="I6" s="9" t="str">
        <f t="shared" si="1"/>
        <v>reprovado</v>
      </c>
      <c r="J6" s="9" t="str">
        <f t="shared" si="2"/>
        <v>nok</v>
      </c>
      <c r="K6" s="9" t="b">
        <f t="shared" si="3"/>
        <v>0</v>
      </c>
      <c r="L6" s="9" t="b">
        <f t="shared" si="4"/>
        <v>0</v>
      </c>
      <c r="M6" s="9"/>
    </row>
    <row r="7" spans="1:13" ht="14.25" customHeight="1" x14ac:dyDescent="0.25">
      <c r="A7" s="6">
        <v>4</v>
      </c>
      <c r="B7" s="7" t="s">
        <v>15</v>
      </c>
      <c r="C7" s="8">
        <v>7.3</v>
      </c>
      <c r="D7" s="8">
        <v>8</v>
      </c>
      <c r="E7" s="8">
        <v>9.5</v>
      </c>
      <c r="F7" s="8">
        <v>8.3000000000000007</v>
      </c>
      <c r="G7" s="9">
        <f t="shared" si="0"/>
        <v>8.2750000000000004</v>
      </c>
      <c r="H7" s="10">
        <v>1</v>
      </c>
      <c r="I7" s="9" t="str">
        <f t="shared" si="1"/>
        <v>aprovado</v>
      </c>
      <c r="J7" s="9" t="str">
        <f t="shared" si="2"/>
        <v>ok</v>
      </c>
      <c r="K7" s="9" t="b">
        <f t="shared" si="3"/>
        <v>1</v>
      </c>
      <c r="L7" s="9" t="b">
        <f t="shared" si="4"/>
        <v>1</v>
      </c>
      <c r="M7" s="9"/>
    </row>
    <row r="8" spans="1:13" ht="14.25" customHeight="1" x14ac:dyDescent="0.25">
      <c r="A8" s="6">
        <v>5</v>
      </c>
      <c r="B8" s="7" t="s">
        <v>16</v>
      </c>
      <c r="C8" s="8">
        <v>3.6</v>
      </c>
      <c r="D8" s="8">
        <v>4.5</v>
      </c>
      <c r="E8" s="8">
        <v>6.3</v>
      </c>
      <c r="F8" s="8">
        <v>3.5</v>
      </c>
      <c r="G8" s="9">
        <f t="shared" si="0"/>
        <v>4.4749999999999996</v>
      </c>
      <c r="H8" s="10">
        <v>0.74</v>
      </c>
      <c r="I8" s="9" t="str">
        <f t="shared" si="1"/>
        <v>reprovado</v>
      </c>
      <c r="J8" s="9" t="str">
        <f t="shared" si="2"/>
        <v>nok</v>
      </c>
      <c r="K8" s="9" t="b">
        <f t="shared" si="3"/>
        <v>0</v>
      </c>
      <c r="L8" s="9" t="b">
        <f t="shared" si="4"/>
        <v>0</v>
      </c>
      <c r="M8" s="9"/>
    </row>
    <row r="9" spans="1:13" ht="14.25" customHeight="1" x14ac:dyDescent="0.25">
      <c r="A9" s="6">
        <v>6</v>
      </c>
      <c r="B9" s="7" t="s">
        <v>17</v>
      </c>
      <c r="C9" s="8">
        <v>9</v>
      </c>
      <c r="D9" s="8">
        <v>8.6999999999999993</v>
      </c>
      <c r="E9" s="8">
        <v>4.2</v>
      </c>
      <c r="F9" s="8">
        <v>7.8</v>
      </c>
      <c r="G9" s="9">
        <f t="shared" si="0"/>
        <v>7.4249999999999998</v>
      </c>
      <c r="H9" s="10">
        <v>0.85</v>
      </c>
      <c r="I9" s="9" t="str">
        <f t="shared" si="1"/>
        <v>aprovado</v>
      </c>
      <c r="J9" s="9" t="str">
        <f t="shared" si="2"/>
        <v>ok</v>
      </c>
      <c r="K9" s="9" t="b">
        <f t="shared" si="3"/>
        <v>1</v>
      </c>
      <c r="L9" s="9" t="b">
        <f t="shared" si="4"/>
        <v>1</v>
      </c>
      <c r="M9" s="9"/>
    </row>
    <row r="10" spans="1:13" ht="14.25" customHeight="1" x14ac:dyDescent="0.25">
      <c r="A10" s="6">
        <v>7</v>
      </c>
      <c r="B10" s="7" t="s">
        <v>18</v>
      </c>
      <c r="C10" s="8">
        <v>2.9</v>
      </c>
      <c r="D10" s="8">
        <v>3.9</v>
      </c>
      <c r="E10" s="8">
        <v>2.2999999999999998</v>
      </c>
      <c r="F10" s="8">
        <v>3.7</v>
      </c>
      <c r="G10" s="9">
        <f t="shared" si="0"/>
        <v>3.2</v>
      </c>
      <c r="H10" s="10">
        <v>0</v>
      </c>
      <c r="I10" s="9" t="str">
        <f t="shared" si="1"/>
        <v>reprovado</v>
      </c>
      <c r="J10" s="9" t="str">
        <f t="shared" si="2"/>
        <v>nok</v>
      </c>
      <c r="K10" s="9" t="b">
        <f t="shared" si="3"/>
        <v>0</v>
      </c>
      <c r="L10" s="9" t="b">
        <f t="shared" si="4"/>
        <v>0</v>
      </c>
      <c r="M10" s="9"/>
    </row>
    <row r="11" spans="1:13" ht="14.25" customHeight="1" x14ac:dyDescent="0.25">
      <c r="A11" s="6">
        <v>8</v>
      </c>
      <c r="B11" s="7" t="s">
        <v>19</v>
      </c>
      <c r="C11" s="8">
        <v>9.3000000000000007</v>
      </c>
      <c r="D11" s="8">
        <v>2</v>
      </c>
      <c r="E11" s="8">
        <v>1</v>
      </c>
      <c r="F11" s="8">
        <v>3</v>
      </c>
      <c r="G11" s="9">
        <f t="shared" si="0"/>
        <v>3.8250000000000002</v>
      </c>
      <c r="H11" s="10">
        <v>0.75</v>
      </c>
      <c r="I11" s="9" t="str">
        <f t="shared" si="1"/>
        <v>reprovado</v>
      </c>
      <c r="J11" s="9" t="str">
        <f t="shared" si="2"/>
        <v>ok</v>
      </c>
      <c r="K11" s="9" t="b">
        <f t="shared" si="3"/>
        <v>0</v>
      </c>
      <c r="L11" s="9" t="b">
        <f t="shared" si="4"/>
        <v>1</v>
      </c>
      <c r="M11" s="9"/>
    </row>
    <row r="12" spans="1:13" ht="14.25" customHeight="1" x14ac:dyDescent="0.25">
      <c r="A12" s="6">
        <v>9</v>
      </c>
      <c r="B12" s="7" t="s">
        <v>20</v>
      </c>
      <c r="C12" s="8">
        <v>3.5</v>
      </c>
      <c r="D12" s="8">
        <v>4.5</v>
      </c>
      <c r="E12" s="8">
        <v>5.5</v>
      </c>
      <c r="F12" s="8">
        <v>6.5</v>
      </c>
      <c r="G12" s="9">
        <f t="shared" si="0"/>
        <v>5</v>
      </c>
      <c r="H12" s="10">
        <v>1</v>
      </c>
      <c r="I12" s="9" t="str">
        <f t="shared" si="1"/>
        <v>reprovado</v>
      </c>
      <c r="J12" s="9" t="str">
        <f t="shared" si="2"/>
        <v>ok</v>
      </c>
      <c r="K12" s="9" t="b">
        <f t="shared" si="3"/>
        <v>0</v>
      </c>
      <c r="L12" s="9" t="b">
        <f t="shared" si="4"/>
        <v>1</v>
      </c>
      <c r="M12" s="9"/>
    </row>
    <row r="13" spans="1:13" ht="14.25" customHeight="1" x14ac:dyDescent="0.25">
      <c r="A13" s="6">
        <v>10</v>
      </c>
      <c r="B13" s="7" t="s">
        <v>21</v>
      </c>
      <c r="C13" s="8">
        <v>8</v>
      </c>
      <c r="D13" s="8">
        <v>7.9</v>
      </c>
      <c r="E13" s="8">
        <v>5</v>
      </c>
      <c r="F13" s="8">
        <v>6.5</v>
      </c>
      <c r="G13" s="9">
        <f t="shared" si="0"/>
        <v>6.85</v>
      </c>
      <c r="H13" s="10">
        <v>0.7</v>
      </c>
      <c r="I13" s="9" t="str">
        <f t="shared" si="1"/>
        <v>aprovado</v>
      </c>
      <c r="J13" s="9" t="str">
        <f t="shared" si="2"/>
        <v>nok</v>
      </c>
      <c r="K13" s="9" t="b">
        <f t="shared" si="3"/>
        <v>0</v>
      </c>
      <c r="L13" s="9" t="b">
        <f t="shared" si="4"/>
        <v>1</v>
      </c>
      <c r="M13" s="9"/>
    </row>
    <row r="14" spans="1:13" ht="14.25" customHeight="1" x14ac:dyDescent="0.25">
      <c r="A14" s="11"/>
      <c r="B14" s="12"/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4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14.25" customHeight="1" x14ac:dyDescent="0.25">
      <c r="A16" s="12"/>
      <c r="B16" s="13" t="s">
        <v>22</v>
      </c>
      <c r="C16" s="14">
        <f>MAX(C4:C13)</f>
        <v>9.3000000000000007</v>
      </c>
      <c r="D16" s="14">
        <f t="shared" ref="D16:F16" si="5">MAX(D4:D13)</f>
        <v>8.6999999999999993</v>
      </c>
      <c r="E16" s="14">
        <f t="shared" si="5"/>
        <v>9.5</v>
      </c>
      <c r="F16" s="14">
        <f t="shared" si="5"/>
        <v>8.3000000000000007</v>
      </c>
      <c r="G16" s="12"/>
      <c r="H16" s="12"/>
      <c r="I16" s="12"/>
      <c r="J16" s="12"/>
      <c r="K16" s="12"/>
    </row>
    <row r="17" spans="1:13" ht="14.25" customHeight="1" x14ac:dyDescent="0.25">
      <c r="A17" s="12"/>
      <c r="B17" s="15" t="s">
        <v>23</v>
      </c>
      <c r="C17" s="16">
        <f>MIN(C4:C13)</f>
        <v>2.9</v>
      </c>
      <c r="D17" s="16">
        <f t="shared" ref="D17:F17" si="6">MIN(D4:D13)</f>
        <v>2</v>
      </c>
      <c r="E17" s="16">
        <f t="shared" si="6"/>
        <v>1</v>
      </c>
      <c r="F17" s="16">
        <f t="shared" si="6"/>
        <v>3</v>
      </c>
      <c r="G17" s="12"/>
      <c r="H17" s="12"/>
      <c r="I17" s="12"/>
      <c r="J17" s="12"/>
      <c r="K17" s="12"/>
    </row>
    <row r="18" spans="1:13" ht="14.2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3" ht="14.25" customHeight="1" x14ac:dyDescent="0.25">
      <c r="A19" s="12"/>
      <c r="B19" s="13" t="s">
        <v>24</v>
      </c>
      <c r="C19" s="17">
        <f>MAX(C4:F13)</f>
        <v>9.5</v>
      </c>
      <c r="D19" s="12"/>
    </row>
    <row r="20" spans="1:13" ht="14.25" customHeight="1" x14ac:dyDescent="0.25">
      <c r="A20" s="12"/>
      <c r="B20" s="15" t="s">
        <v>25</v>
      </c>
      <c r="C20" s="18">
        <f>MIN(C4:F13)</f>
        <v>1</v>
      </c>
      <c r="D20" s="12"/>
    </row>
    <row r="21" spans="1:13" ht="14.2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3" ht="14.25" customHeight="1" x14ac:dyDescent="0.25">
      <c r="A22" s="12"/>
      <c r="B22" s="13" t="s">
        <v>26</v>
      </c>
      <c r="C22" s="17">
        <f>MAX(G4:G13)</f>
        <v>8.2750000000000004</v>
      </c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14.25" customHeight="1" x14ac:dyDescent="0.25">
      <c r="B23" s="15" t="s">
        <v>27</v>
      </c>
      <c r="C23" s="18">
        <f>MIN(G4:G13)</f>
        <v>3.2</v>
      </c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14.25" customHeight="1" x14ac:dyDescent="0.2"/>
    <row r="25" spans="1:13" ht="14.25" customHeight="1" x14ac:dyDescent="0.2"/>
    <row r="26" spans="1:13" ht="14.25" customHeight="1" x14ac:dyDescent="0.2"/>
    <row r="27" spans="1:13" ht="14.25" customHeight="1" x14ac:dyDescent="0.2"/>
    <row r="28" spans="1:13" ht="14.25" customHeight="1" x14ac:dyDescent="0.2"/>
    <row r="29" spans="1:13" ht="14.25" customHeight="1" x14ac:dyDescent="0.2"/>
    <row r="30" spans="1:13" ht="14.25" customHeight="1" x14ac:dyDescent="0.2"/>
    <row r="31" spans="1:13" ht="14.25" customHeight="1" x14ac:dyDescent="0.2"/>
    <row r="32" spans="1:1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M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2.625" defaultRowHeight="15" customHeight="1" x14ac:dyDescent="0.2"/>
  <cols>
    <col min="1" max="1" width="8.625" customWidth="1"/>
    <col min="2" max="2" width="9.75" customWidth="1"/>
    <col min="3" max="3" width="11.625" customWidth="1"/>
    <col min="4" max="6" width="8.625" customWidth="1"/>
  </cols>
  <sheetData>
    <row r="1" spans="1:3" ht="13.5" customHeight="1" x14ac:dyDescent="0.2">
      <c r="A1" s="19" t="s">
        <v>28</v>
      </c>
      <c r="B1" s="19" t="s">
        <v>29</v>
      </c>
      <c r="C1" s="19" t="s">
        <v>30</v>
      </c>
    </row>
    <row r="2" spans="1:3" ht="13.5" customHeight="1" x14ac:dyDescent="0.2">
      <c r="A2" s="19" t="s">
        <v>31</v>
      </c>
      <c r="B2" s="19" t="s">
        <v>32</v>
      </c>
      <c r="C2" s="19" t="s">
        <v>33</v>
      </c>
    </row>
    <row r="3" spans="1:3" ht="13.5" customHeight="1" x14ac:dyDescent="0.2"/>
    <row r="4" spans="1:3" ht="13.5" customHeight="1" x14ac:dyDescent="0.2"/>
    <row r="5" spans="1:3" ht="13.5" customHeight="1" x14ac:dyDescent="0.2"/>
    <row r="6" spans="1:3" ht="13.5" customHeight="1" x14ac:dyDescent="0.2"/>
    <row r="7" spans="1:3" ht="13.5" customHeight="1" x14ac:dyDescent="0.2"/>
    <row r="8" spans="1:3" ht="13.5" customHeight="1" x14ac:dyDescent="0.2"/>
    <row r="9" spans="1:3" ht="13.5" customHeight="1" x14ac:dyDescent="0.2"/>
    <row r="10" spans="1:3" ht="13.5" customHeight="1" x14ac:dyDescent="0.2"/>
    <row r="11" spans="1:3" ht="13.5" customHeight="1" x14ac:dyDescent="0.2"/>
    <row r="12" spans="1:3" ht="13.5" customHeight="1" x14ac:dyDescent="0.2"/>
    <row r="13" spans="1:3" ht="13.5" customHeight="1" x14ac:dyDescent="0.2"/>
    <row r="14" spans="1:3" ht="13.5" customHeight="1" x14ac:dyDescent="0.2"/>
    <row r="15" spans="1:3" ht="13.5" customHeight="1" x14ac:dyDescent="0.2"/>
    <row r="16" spans="1:3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2.625" defaultRowHeight="15" customHeight="1" x14ac:dyDescent="0.2"/>
  <cols>
    <col min="1" max="2" width="9.75" customWidth="1"/>
    <col min="3" max="3" width="11.625" customWidth="1"/>
    <col min="4" max="6" width="8.625" customWidth="1"/>
  </cols>
  <sheetData>
    <row r="1" spans="1:3" ht="13.5" customHeight="1" x14ac:dyDescent="0.2">
      <c r="A1" s="19" t="s">
        <v>34</v>
      </c>
      <c r="B1" s="19" t="s">
        <v>35</v>
      </c>
      <c r="C1" s="19" t="s">
        <v>36</v>
      </c>
    </row>
    <row r="2" spans="1:3" ht="13.5" customHeight="1" x14ac:dyDescent="0.2">
      <c r="A2" s="19" t="str">
        <f>IF(matemática!G4&gt;=6.5,Situação!$A$2,Situação!$B$2)</f>
        <v>Aprovado</v>
      </c>
      <c r="B2" s="19" t="str">
        <f>IF(AND(matemática!G4&gt;=6.5,matemática!H4&gt;=75%),Situação!$A$2,Situação!$B$2)</f>
        <v>Reprovado</v>
      </c>
      <c r="C2" s="19" t="str">
        <f>IF(matemática!G4&gt;=6.5,Situação!$A$2,IF(matemática!G4&lt;4,Situação!$B$2,Situação!$C$2))</f>
        <v>Aprovado</v>
      </c>
    </row>
    <row r="3" spans="1:3" ht="13.5" customHeight="1" x14ac:dyDescent="0.2">
      <c r="A3" s="19" t="str">
        <f>IF(matemática!G5&gt;=6.5,Situação!$A$2,Situação!$B$2)</f>
        <v>Reprovado</v>
      </c>
      <c r="B3" s="19" t="str">
        <f>IF(AND(matemática!G5&gt;=6.5,matemática!H5&gt;=75%),Situação!$A$2,Situação!$B$2)</f>
        <v>Reprovado</v>
      </c>
      <c r="C3" s="19" t="str">
        <f>IF(matemática!G5&gt;=6.5,Situação!$A$2,IF(matemática!G5&lt;4,Situação!$B$2,Situação!$C$2))</f>
        <v>Recuperação</v>
      </c>
    </row>
    <row r="4" spans="1:3" ht="13.5" customHeight="1" x14ac:dyDescent="0.2">
      <c r="A4" s="19" t="str">
        <f>IF(matemática!G6&gt;=6.5,Situação!$A$2,Situação!$B$2)</f>
        <v>Reprovado</v>
      </c>
      <c r="B4" s="19" t="str">
        <f>IF(AND(matemática!G6&gt;=6.5,matemática!H6&gt;=75%),Situação!$A$2,Situação!$B$2)</f>
        <v>Reprovado</v>
      </c>
      <c r="C4" s="19" t="str">
        <f>IF(matemática!G6&gt;=6.5,Situação!$A$2,IF(matemática!G6&lt;4,Situação!$B$2,Situação!$C$2))</f>
        <v>Recuperação</v>
      </c>
    </row>
    <row r="5" spans="1:3" ht="13.5" customHeight="1" x14ac:dyDescent="0.2">
      <c r="A5" s="19" t="str">
        <f>IF(matemática!G7&gt;=6.5,Situação!$A$2,Situação!$B$2)</f>
        <v>Aprovado</v>
      </c>
      <c r="B5" s="19" t="str">
        <f>IF(AND(matemática!G7&gt;=6.5,matemática!H7&gt;=75%),Situação!$A$2,Situação!$B$2)</f>
        <v>Aprovado</v>
      </c>
      <c r="C5" s="19" t="str">
        <f>IF(matemática!G7&gt;=6.5,Situação!$A$2,IF(matemática!G7&lt;4,Situação!$B$2,Situação!$C$2))</f>
        <v>Aprovado</v>
      </c>
    </row>
    <row r="6" spans="1:3" ht="13.5" customHeight="1" x14ac:dyDescent="0.2">
      <c r="A6" s="19" t="str">
        <f>IF(matemática!G8&gt;=6.5,Situação!$A$2,Situação!$B$2)</f>
        <v>Reprovado</v>
      </c>
      <c r="B6" s="19" t="str">
        <f>IF(AND(matemática!G8&gt;=6.5,matemática!H8&gt;=75%),Situação!$A$2,Situação!$B$2)</f>
        <v>Reprovado</v>
      </c>
      <c r="C6" s="19" t="str">
        <f>IF(matemática!G8&gt;=6.5,Situação!$A$2,IF(matemática!G8&lt;4,Situação!$B$2,Situação!$C$2))</f>
        <v>Recuperação</v>
      </c>
    </row>
    <row r="7" spans="1:3" ht="13.5" customHeight="1" x14ac:dyDescent="0.2">
      <c r="A7" s="19" t="str">
        <f>IF(matemática!G9&gt;=6.5,Situação!$A$2,Situação!$B$2)</f>
        <v>Aprovado</v>
      </c>
      <c r="B7" s="19" t="str">
        <f>IF(AND(matemática!G9&gt;=6.5,matemática!H9&gt;=75%),Situação!$A$2,Situação!$B$2)</f>
        <v>Aprovado</v>
      </c>
      <c r="C7" s="19" t="str">
        <f>IF(matemática!G9&gt;=6.5,Situação!$A$2,IF(matemática!G9&lt;4,Situação!$B$2,Situação!$C$2))</f>
        <v>Aprovado</v>
      </c>
    </row>
    <row r="8" spans="1:3" ht="13.5" customHeight="1" x14ac:dyDescent="0.2">
      <c r="A8" s="19" t="str">
        <f>IF(matemática!G10&gt;=6.5,Situação!$A$2,Situação!$B$2)</f>
        <v>Reprovado</v>
      </c>
      <c r="B8" s="19" t="str">
        <f>IF(AND(matemática!G10&gt;=6.5,matemática!H10&gt;=75%),Situação!$A$2,Situação!$B$2)</f>
        <v>Reprovado</v>
      </c>
      <c r="C8" s="19" t="str">
        <f>IF(matemática!G10&gt;=6.5,Situação!$A$2,IF(matemática!G10&lt;4,Situação!$B$2,Situação!$C$2))</f>
        <v>Reprovado</v>
      </c>
    </row>
    <row r="9" spans="1:3" ht="13.5" customHeight="1" x14ac:dyDescent="0.2">
      <c r="A9" s="19" t="str">
        <f>IF(matemática!G11&gt;=6.5,Situação!$A$2,Situação!$B$2)</f>
        <v>Reprovado</v>
      </c>
      <c r="B9" s="19" t="str">
        <f>IF(AND(matemática!G11&gt;=6.5,matemática!H11&gt;=75%),Situação!$A$2,Situação!$B$2)</f>
        <v>Reprovado</v>
      </c>
      <c r="C9" s="19" t="str">
        <f>IF(matemática!G11&gt;=6.5,Situação!$A$2,IF(matemática!G11&lt;4,Situação!$B$2,Situação!$C$2))</f>
        <v>Reprovado</v>
      </c>
    </row>
    <row r="10" spans="1:3" ht="13.5" customHeight="1" x14ac:dyDescent="0.2">
      <c r="A10" s="19" t="str">
        <f>IF(matemática!G12&gt;=6.5,Situação!$A$2,Situação!$B$2)</f>
        <v>Reprovado</v>
      </c>
      <c r="B10" s="19" t="str">
        <f>IF(AND(matemática!G12&gt;=6.5,matemática!H12&gt;=75%),Situação!$A$2,Situação!$B$2)</f>
        <v>Reprovado</v>
      </c>
      <c r="C10" s="19" t="str">
        <f>IF(matemática!G12&gt;=6.5,Situação!$A$2,IF(matemática!G12&lt;4,Situação!$B$2,Situação!$C$2))</f>
        <v>Recuperação</v>
      </c>
    </row>
    <row r="11" spans="1:3" ht="13.5" customHeight="1" x14ac:dyDescent="0.2">
      <c r="A11" s="19" t="str">
        <f>IF(matemática!G13&gt;=6.5,Situação!$A$2,Situação!$B$2)</f>
        <v>Aprovado</v>
      </c>
      <c r="B11" s="19" t="str">
        <f>IF(AND(matemática!G13&gt;=6.5,matemática!H13&gt;=75%),Situação!$A$2,Situação!$B$2)</f>
        <v>Reprovado</v>
      </c>
      <c r="C11" s="19" t="str">
        <f>IF(matemática!G13&gt;=6.5,Situação!$A$2,IF(matemática!G13&lt;4,Situação!$B$2,Situação!$C$2))</f>
        <v>Aprovado</v>
      </c>
    </row>
    <row r="12" spans="1:3" ht="13.5" customHeight="1" x14ac:dyDescent="0.2"/>
    <row r="13" spans="1:3" ht="13.5" customHeight="1" x14ac:dyDescent="0.2"/>
    <row r="14" spans="1:3" ht="13.5" customHeight="1" x14ac:dyDescent="0.2"/>
    <row r="15" spans="1:3" ht="13.5" customHeight="1" x14ac:dyDescent="0.2"/>
    <row r="16" spans="1:3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matemática</vt:lpstr>
      <vt:lpstr>Situação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Niedjia Cunha Costa</dc:creator>
  <cp:lastModifiedBy>Aluno</cp:lastModifiedBy>
  <dcterms:created xsi:type="dcterms:W3CDTF">2025-11-05T12:07:53Z</dcterms:created>
  <dcterms:modified xsi:type="dcterms:W3CDTF">2026-07-22T19:28:51Z</dcterms:modified>
</cp:coreProperties>
</file>