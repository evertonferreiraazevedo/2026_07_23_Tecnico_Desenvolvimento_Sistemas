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UNO\"/>
    </mc:Choice>
  </mc:AlternateContent>
  <xr:revisionPtr revIDLastSave="0" documentId="8_{BD00674C-3BFE-4F45-8A96-3EF2860E2456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Plan1" sheetId="1" r:id="rId1"/>
  </sheets>
  <calcPr calcId="191029"/>
  <extLst>
    <ext uri="GoogleSheetsCustomDataVersion2">
      <go:sheetsCustomData xmlns:go="http://customooxmlschemas.google.com/" r:id="rId5" roundtripDataChecksum="hhetmF4ABXz62nJJwkz9IDY2zgSkXgS1lfTKplNwczw=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5" i="1"/>
  <c r="H6" i="1"/>
  <c r="H7" i="1"/>
  <c r="H8" i="1"/>
  <c r="H9" i="1"/>
  <c r="H10" i="1"/>
  <c r="H11" i="1"/>
  <c r="H12" i="1"/>
  <c r="H13" i="1"/>
  <c r="H14" i="1"/>
  <c r="H5" i="1"/>
  <c r="J6" i="1"/>
  <c r="J7" i="1"/>
  <c r="J8" i="1"/>
  <c r="J9" i="1"/>
  <c r="J10" i="1"/>
  <c r="J11" i="1"/>
  <c r="J12" i="1"/>
  <c r="J13" i="1"/>
  <c r="J14" i="1"/>
  <c r="J5" i="1"/>
  <c r="I6" i="1"/>
  <c r="I7" i="1"/>
  <c r="I8" i="1"/>
  <c r="I9" i="1"/>
  <c r="I10" i="1"/>
  <c r="I11" i="1"/>
  <c r="I12" i="1"/>
  <c r="I13" i="1"/>
  <c r="I14" i="1"/>
  <c r="I5" i="1"/>
  <c r="G6" i="1"/>
  <c r="G7" i="1"/>
  <c r="G8" i="1"/>
  <c r="G9" i="1"/>
  <c r="G10" i="1"/>
  <c r="G11" i="1"/>
  <c r="G12" i="1"/>
  <c r="G13" i="1"/>
  <c r="G14" i="1"/>
  <c r="G5" i="1"/>
  <c r="F6" i="1"/>
  <c r="F7" i="1"/>
  <c r="F8" i="1"/>
  <c r="F9" i="1"/>
  <c r="F10" i="1"/>
  <c r="F11" i="1"/>
  <c r="F12" i="1"/>
  <c r="F13" i="1"/>
  <c r="F14" i="1"/>
  <c r="F5" i="1"/>
  <c r="E6" i="1"/>
  <c r="E7" i="1"/>
  <c r="E8" i="1"/>
  <c r="E9" i="1"/>
  <c r="E10" i="1"/>
  <c r="E11" i="1"/>
  <c r="E12" i="1"/>
  <c r="E13" i="1"/>
  <c r="E14" i="1"/>
  <c r="D6" i="1"/>
  <c r="D7" i="1"/>
  <c r="D8" i="1"/>
  <c r="D9" i="1"/>
  <c r="D10" i="1"/>
  <c r="D11" i="1"/>
  <c r="D12" i="1"/>
  <c r="D13" i="1"/>
  <c r="D14" i="1"/>
  <c r="E5" i="1"/>
  <c r="D5" i="1"/>
</calcChain>
</file>

<file path=xl/sharedStrings.xml><?xml version="1.0" encoding="utf-8"?>
<sst xmlns="http://schemas.openxmlformats.org/spreadsheetml/2006/main" count="58" uniqueCount="55">
  <si>
    <t xml:space="preserve">Folha de pagamento </t>
  </si>
  <si>
    <t>Codigo</t>
  </si>
  <si>
    <t>Cargo</t>
  </si>
  <si>
    <t>Salario</t>
  </si>
  <si>
    <t>Tabela INSS</t>
  </si>
  <si>
    <t>Tabela IRRF</t>
  </si>
  <si>
    <t>salário mínimo</t>
  </si>
  <si>
    <t>Analista de Salários</t>
  </si>
  <si>
    <t>Nr. Salarios</t>
  </si>
  <si>
    <t>Aliquota</t>
  </si>
  <si>
    <t>Auxiliar de Contabilidade</t>
  </si>
  <si>
    <t>Funcionário</t>
  </si>
  <si>
    <t>Dependentes</t>
  </si>
  <si>
    <t>Cod. Cargo</t>
  </si>
  <si>
    <t>Nr. Sal.</t>
  </si>
  <si>
    <t>Sal. Bruto</t>
  </si>
  <si>
    <t>INSS</t>
  </si>
  <si>
    <t>Sal Familia</t>
  </si>
  <si>
    <t>IRRF</t>
  </si>
  <si>
    <t>Total Desconto</t>
  </si>
  <si>
    <t>Sal. Liquido</t>
  </si>
  <si>
    <t>Chefe de Cobrança</t>
  </si>
  <si>
    <t>André Luiz Manzano</t>
  </si>
  <si>
    <t>Chefe de Expedição</t>
  </si>
  <si>
    <t>Antonio Carlos de Abreu</t>
  </si>
  <si>
    <t>Contador</t>
  </si>
  <si>
    <t>Eduardo Taka</t>
  </si>
  <si>
    <t>Gerente de Divisão</t>
  </si>
  <si>
    <t>Fernando Bestechi</t>
  </si>
  <si>
    <t>Escriturário</t>
  </si>
  <si>
    <t>Gerson de Jesus</t>
  </si>
  <si>
    <t>faxineiro</t>
  </si>
  <si>
    <t xml:space="preserve">João Carlos Menzano </t>
  </si>
  <si>
    <t>Gerente Administrativo</t>
  </si>
  <si>
    <t>José Augusto Manzano</t>
  </si>
  <si>
    <t>Gerente comercial</t>
  </si>
  <si>
    <t>Maria de Abreu</t>
  </si>
  <si>
    <t>Gerente de Pessoal</t>
  </si>
  <si>
    <t>Sandra Alves Toledo</t>
  </si>
  <si>
    <t>Gerente de Treinamento</t>
  </si>
  <si>
    <t>Sandro Mendes</t>
  </si>
  <si>
    <t>Gerente Financeiro</t>
  </si>
  <si>
    <t>Continuo</t>
  </si>
  <si>
    <t>Salário Família</t>
  </si>
  <si>
    <t>&lt;1819,26</t>
  </si>
  <si>
    <t>Operador de Micro</t>
  </si>
  <si>
    <t>62,04 por dependente</t>
  </si>
  <si>
    <t>Programador</t>
  </si>
  <si>
    <t>secretaria</t>
  </si>
  <si>
    <t>Cálculos</t>
  </si>
  <si>
    <t>Sal. Bruto - NR.Sal*Sal.Min</t>
  </si>
  <si>
    <t>IRPF - Procv*Sal.Bruto</t>
  </si>
  <si>
    <t>INSS-Procv*Sal.bruto</t>
  </si>
  <si>
    <t>Total de desconto - INSS+IRRF</t>
  </si>
  <si>
    <t>Sal. Líquido - sal.liq+sal familia-total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</si>
</sst>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(&quot;R$ &quot;* #,##0.00_);_(&quot;R$ &quot;* \(#,##0.00\);_(&quot;R$ &quot;* &quot;-&quot;??_);_(@_)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1" xfId="0" applyFont="1" applyBorder="1"/>
    <xf numFmtId="0" fontId="0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/>
    <xf numFmtId="0" fontId="1" fillId="2" borderId="1" xfId="0" applyFont="1" applyFill="1" applyBorder="1"/>
    <xf numFmtId="10" fontId="2" fillId="0" borderId="1" xfId="0" applyNumberFormat="1" applyFont="1" applyBorder="1" applyAlignment="1"/>
    <xf numFmtId="10" fontId="2" fillId="0" borderId="1" xfId="0" applyNumberFormat="1" applyFont="1" applyBorder="1"/>
    <xf numFmtId="10" fontId="3" fillId="0" borderId="1" xfId="0" applyNumberFormat="1" applyFont="1" applyBorder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1" fillId="0" borderId="8" xfId="0" applyFont="1" applyBorder="1"/>
    <xf numFmtId="0" fontId="0" fillId="0" borderId="8" xfId="0" applyFont="1" applyBorder="1" applyAlignment="1"/>
    <xf numFmtId="0" fontId="4" fillId="0" borderId="9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164" fontId="2" fillId="0" borderId="1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tabSelected="1" zoomScale="89" zoomScaleNormal="89" workbookViewId="0">
      <selection activeCell="M21" sqref="M21"/>
    </sheetView>
  </sheetViews>
  <sheetFormatPr defaultColWidth="14.42578125" defaultRowHeight="15" customHeight="1" x14ac:dyDescent="0.25"/>
  <cols>
    <col min="1" max="1" width="23.7109375" customWidth="1"/>
    <col min="2" max="2" width="15.28515625" customWidth="1"/>
    <col min="3" max="3" width="12.7109375" customWidth="1"/>
    <col min="4" max="4" width="22.28515625" customWidth="1"/>
    <col min="5" max="5" width="8.7109375" customWidth="1"/>
    <col min="6" max="6" width="13.7109375" customWidth="1"/>
    <col min="7" max="7" width="14.5703125" customWidth="1"/>
    <col min="8" max="8" width="14.85546875" customWidth="1"/>
    <col min="9" max="9" width="14.42578125" customWidth="1"/>
    <col min="10" max="10" width="13.42578125" bestFit="1" customWidth="1"/>
    <col min="11" max="11" width="14" bestFit="1" customWidth="1"/>
    <col min="12" max="14" width="8.7109375" customWidth="1"/>
    <col min="15" max="15" width="24.85546875" customWidth="1"/>
    <col min="16" max="17" width="8.7109375" customWidth="1"/>
    <col min="18" max="18" width="13" customWidth="1"/>
    <col min="19" max="19" width="11.5703125" customWidth="1"/>
    <col min="20" max="20" width="8.7109375" customWidth="1"/>
    <col min="21" max="21" width="10.42578125" customWidth="1"/>
    <col min="22" max="26" width="8.7109375" customWidth="1"/>
  </cols>
  <sheetData>
    <row r="1" spans="1:22" ht="14.25" customHeight="1" x14ac:dyDescent="0.25">
      <c r="A1" s="30" t="s">
        <v>0</v>
      </c>
      <c r="B1" s="31"/>
      <c r="N1" s="5" t="s">
        <v>1</v>
      </c>
      <c r="O1" s="5" t="s">
        <v>2</v>
      </c>
      <c r="P1" s="5" t="s">
        <v>3</v>
      </c>
      <c r="R1" s="26" t="s">
        <v>4</v>
      </c>
      <c r="S1" s="27"/>
      <c r="U1" s="26" t="s">
        <v>5</v>
      </c>
      <c r="V1" s="27"/>
    </row>
    <row r="2" spans="1:22" ht="14.25" customHeight="1" x14ac:dyDescent="0.25">
      <c r="A2" s="1" t="s">
        <v>6</v>
      </c>
      <c r="B2" s="20">
        <v>1412</v>
      </c>
      <c r="N2" s="1">
        <v>1</v>
      </c>
      <c r="O2" s="1" t="s">
        <v>7</v>
      </c>
      <c r="P2" s="1">
        <v>9</v>
      </c>
      <c r="R2" s="1" t="s">
        <v>8</v>
      </c>
      <c r="S2" s="1" t="s">
        <v>9</v>
      </c>
      <c r="U2" s="1" t="s">
        <v>8</v>
      </c>
      <c r="V2" s="1" t="s">
        <v>9</v>
      </c>
    </row>
    <row r="3" spans="1:22" ht="14.25" customHeight="1" x14ac:dyDescent="0.25">
      <c r="N3" s="1">
        <v>2</v>
      </c>
      <c r="O3" s="1" t="s">
        <v>10</v>
      </c>
      <c r="P3" s="1">
        <v>6</v>
      </c>
      <c r="R3" s="1">
        <v>1</v>
      </c>
      <c r="S3" s="6">
        <v>7.0000000000000007E-2</v>
      </c>
      <c r="U3" s="1">
        <v>0</v>
      </c>
      <c r="V3" s="8">
        <v>0</v>
      </c>
    </row>
    <row r="4" spans="1:22" ht="14.25" customHeight="1" x14ac:dyDescent="0.25">
      <c r="A4" s="21" t="s">
        <v>11</v>
      </c>
      <c r="B4" s="21" t="s">
        <v>12</v>
      </c>
      <c r="C4" s="21" t="s">
        <v>13</v>
      </c>
      <c r="D4" s="21" t="s">
        <v>2</v>
      </c>
      <c r="E4" s="21" t="s">
        <v>14</v>
      </c>
      <c r="F4" s="21" t="s">
        <v>15</v>
      </c>
      <c r="G4" s="21" t="s">
        <v>16</v>
      </c>
      <c r="H4" s="21" t="s">
        <v>17</v>
      </c>
      <c r="I4" s="21" t="s">
        <v>18</v>
      </c>
      <c r="J4" s="21" t="s">
        <v>19</v>
      </c>
      <c r="K4" s="21" t="s">
        <v>20</v>
      </c>
      <c r="N4" s="1">
        <v>3</v>
      </c>
      <c r="O4" s="1" t="s">
        <v>21</v>
      </c>
      <c r="P4" s="1">
        <v>8</v>
      </c>
      <c r="R4" s="1">
        <v>6</v>
      </c>
      <c r="S4" s="7">
        <v>0.09</v>
      </c>
      <c r="U4" s="1">
        <v>4</v>
      </c>
      <c r="V4" s="8">
        <v>0.03</v>
      </c>
    </row>
    <row r="5" spans="1:22" ht="14.25" customHeight="1" x14ac:dyDescent="0.25">
      <c r="A5" s="22" t="s">
        <v>22</v>
      </c>
      <c r="B5" s="23"/>
      <c r="C5" s="22">
        <v>3</v>
      </c>
      <c r="D5" s="23" t="str">
        <f>VLOOKUP(C5,$N$1:$P$18,2)</f>
        <v>Chefe de Cobrança</v>
      </c>
      <c r="E5" s="23">
        <f>VLOOKUP(C5,$N$1:$P$18,3)</f>
        <v>8</v>
      </c>
      <c r="F5" s="32">
        <f>E5*$B$2</f>
        <v>11296</v>
      </c>
      <c r="G5" s="24">
        <f>VLOOKUP(E5,$R$1:$S$6,2)*F5</f>
        <v>1073.1200000000001</v>
      </c>
      <c r="H5" s="24">
        <f>IF(F5&lt;1819.26,62.04*B5,0)</f>
        <v>0</v>
      </c>
      <c r="I5" s="24">
        <f>VLOOKUP(E5,$U$1:$V$8,2)*F6</f>
        <v>169.44</v>
      </c>
      <c r="J5" s="25">
        <f>G5+I5</f>
        <v>1242.5600000000002</v>
      </c>
      <c r="K5" s="25">
        <f>F5+H5-J5</f>
        <v>10053.44</v>
      </c>
      <c r="N5" s="1">
        <v>4</v>
      </c>
      <c r="O5" s="1" t="s">
        <v>23</v>
      </c>
      <c r="P5" s="1">
        <v>8</v>
      </c>
      <c r="R5" s="1">
        <v>8</v>
      </c>
      <c r="S5" s="7">
        <v>9.5000000000000001E-2</v>
      </c>
      <c r="U5" s="1">
        <v>8</v>
      </c>
      <c r="V5" s="8">
        <v>0.06</v>
      </c>
    </row>
    <row r="6" spans="1:22" ht="14.25" customHeight="1" x14ac:dyDescent="0.25">
      <c r="A6" s="1" t="s">
        <v>24</v>
      </c>
      <c r="B6" s="2"/>
      <c r="C6" s="1">
        <v>14</v>
      </c>
      <c r="D6" s="23" t="str">
        <f t="shared" ref="D6:D14" si="0">VLOOKUP(C6,$N$1:$P$18,2)</f>
        <v>Continuo</v>
      </c>
      <c r="E6" s="23">
        <f t="shared" ref="E6:E14" si="1">VLOOKUP(C6,$N$1:$P$18,3)</f>
        <v>2</v>
      </c>
      <c r="F6" s="32">
        <f t="shared" ref="F6:F14" si="2">E6*$B$2</f>
        <v>2824</v>
      </c>
      <c r="G6" s="24">
        <f t="shared" ref="G6:G14" si="3">VLOOKUP(E6,$R$1:$S$6,2)*F6</f>
        <v>197.68</v>
      </c>
      <c r="H6" s="24">
        <f t="shared" ref="H6:H14" si="4">IF(F6&lt;1819.26,62.04*B6,0)</f>
        <v>0</v>
      </c>
      <c r="I6" s="24">
        <f t="shared" ref="I6:I14" si="5">VLOOKUP(E6,$U$1:$V$8,2)*F7</f>
        <v>0</v>
      </c>
      <c r="J6" s="25">
        <f t="shared" ref="J6:J14" si="6">G6+I6</f>
        <v>197.68</v>
      </c>
      <c r="K6" s="25">
        <f t="shared" ref="K6:K14" si="7">F6+H6-J6</f>
        <v>2626.32</v>
      </c>
      <c r="N6" s="1">
        <v>5</v>
      </c>
      <c r="O6" s="1" t="s">
        <v>25</v>
      </c>
      <c r="P6" s="1">
        <v>15</v>
      </c>
      <c r="R6" s="1">
        <v>10</v>
      </c>
      <c r="S6" s="7">
        <v>0.1</v>
      </c>
      <c r="U6" s="1">
        <v>12</v>
      </c>
      <c r="V6" s="8">
        <v>0.09</v>
      </c>
    </row>
    <row r="7" spans="1:22" ht="14.25" customHeight="1" x14ac:dyDescent="0.25">
      <c r="A7" s="1" t="s">
        <v>26</v>
      </c>
      <c r="B7" s="2"/>
      <c r="C7" s="1">
        <v>30</v>
      </c>
      <c r="D7" s="23" t="str">
        <f t="shared" si="0"/>
        <v>secretaria</v>
      </c>
      <c r="E7" s="23">
        <f t="shared" si="1"/>
        <v>7</v>
      </c>
      <c r="F7" s="32">
        <f t="shared" si="2"/>
        <v>9884</v>
      </c>
      <c r="G7" s="24">
        <f t="shared" si="3"/>
        <v>889.56</v>
      </c>
      <c r="H7" s="24">
        <f t="shared" si="4"/>
        <v>0</v>
      </c>
      <c r="I7" s="24">
        <f t="shared" si="5"/>
        <v>338.88</v>
      </c>
      <c r="J7" s="25">
        <f t="shared" si="6"/>
        <v>1228.44</v>
      </c>
      <c r="K7" s="25">
        <f t="shared" si="7"/>
        <v>8655.56</v>
      </c>
      <c r="N7" s="1">
        <v>6</v>
      </c>
      <c r="O7" s="1" t="s">
        <v>27</v>
      </c>
      <c r="P7" s="1">
        <v>22</v>
      </c>
      <c r="U7" s="1">
        <v>16</v>
      </c>
      <c r="V7" s="8">
        <v>0.12</v>
      </c>
    </row>
    <row r="8" spans="1:22" ht="14.25" customHeight="1" x14ac:dyDescent="0.25">
      <c r="A8" s="1" t="s">
        <v>28</v>
      </c>
      <c r="B8" s="2"/>
      <c r="C8" s="1">
        <v>4</v>
      </c>
      <c r="D8" s="23" t="str">
        <f t="shared" si="0"/>
        <v>Chefe de Expedição</v>
      </c>
      <c r="E8" s="23">
        <f t="shared" si="1"/>
        <v>8</v>
      </c>
      <c r="F8" s="32">
        <f t="shared" si="2"/>
        <v>11296</v>
      </c>
      <c r="G8" s="24">
        <f t="shared" si="3"/>
        <v>1073.1200000000001</v>
      </c>
      <c r="H8" s="24">
        <f t="shared" si="4"/>
        <v>0</v>
      </c>
      <c r="I8" s="24">
        <f t="shared" si="5"/>
        <v>423.59999999999997</v>
      </c>
      <c r="J8" s="25">
        <f t="shared" si="6"/>
        <v>1496.72</v>
      </c>
      <c r="K8" s="25">
        <f t="shared" si="7"/>
        <v>9799.2800000000007</v>
      </c>
      <c r="N8" s="1">
        <v>7</v>
      </c>
      <c r="O8" s="1" t="s">
        <v>29</v>
      </c>
      <c r="P8" s="1">
        <v>5</v>
      </c>
      <c r="U8" s="1">
        <v>20</v>
      </c>
      <c r="V8" s="8">
        <v>0.15</v>
      </c>
    </row>
    <row r="9" spans="1:22" ht="14.25" customHeight="1" x14ac:dyDescent="0.25">
      <c r="A9" s="1" t="s">
        <v>30</v>
      </c>
      <c r="B9" s="1">
        <v>2</v>
      </c>
      <c r="C9" s="1">
        <v>7</v>
      </c>
      <c r="D9" s="23" t="str">
        <f t="shared" si="0"/>
        <v>Escriturário</v>
      </c>
      <c r="E9" s="23">
        <f t="shared" si="1"/>
        <v>5</v>
      </c>
      <c r="F9" s="32">
        <f t="shared" si="2"/>
        <v>7060</v>
      </c>
      <c r="G9" s="24">
        <f t="shared" si="3"/>
        <v>494.20000000000005</v>
      </c>
      <c r="H9" s="24">
        <f t="shared" si="4"/>
        <v>0</v>
      </c>
      <c r="I9" s="24">
        <f t="shared" si="5"/>
        <v>635.4</v>
      </c>
      <c r="J9" s="25">
        <f t="shared" si="6"/>
        <v>1129.5999999999999</v>
      </c>
      <c r="K9" s="25">
        <f t="shared" si="7"/>
        <v>5930.4</v>
      </c>
      <c r="N9" s="1">
        <v>8</v>
      </c>
      <c r="O9" s="1" t="s">
        <v>31</v>
      </c>
      <c r="P9" s="1">
        <v>3</v>
      </c>
    </row>
    <row r="10" spans="1:22" ht="14.25" customHeight="1" x14ac:dyDescent="0.25">
      <c r="A10" s="1" t="s">
        <v>32</v>
      </c>
      <c r="B10" s="2"/>
      <c r="C10" s="1">
        <v>5</v>
      </c>
      <c r="D10" s="23" t="str">
        <f t="shared" si="0"/>
        <v>Contador</v>
      </c>
      <c r="E10" s="23">
        <f t="shared" si="1"/>
        <v>15</v>
      </c>
      <c r="F10" s="32">
        <f t="shared" si="2"/>
        <v>21180</v>
      </c>
      <c r="G10" s="24">
        <f t="shared" si="3"/>
        <v>2118</v>
      </c>
      <c r="H10" s="24">
        <f t="shared" si="4"/>
        <v>0</v>
      </c>
      <c r="I10" s="24">
        <f t="shared" si="5"/>
        <v>1270.8</v>
      </c>
      <c r="J10" s="25">
        <f t="shared" si="6"/>
        <v>3388.8</v>
      </c>
      <c r="K10" s="25">
        <f t="shared" si="7"/>
        <v>17791.2</v>
      </c>
      <c r="N10" s="1">
        <v>9</v>
      </c>
      <c r="O10" s="1" t="s">
        <v>33</v>
      </c>
      <c r="P10" s="1">
        <v>10</v>
      </c>
    </row>
    <row r="11" spans="1:22" ht="14.25" customHeight="1" x14ac:dyDescent="0.25">
      <c r="A11" s="1" t="s">
        <v>34</v>
      </c>
      <c r="B11" s="2"/>
      <c r="C11" s="1">
        <v>12</v>
      </c>
      <c r="D11" s="23" t="str">
        <f t="shared" si="0"/>
        <v>Gerente de Treinamento</v>
      </c>
      <c r="E11" s="23">
        <f t="shared" si="1"/>
        <v>10</v>
      </c>
      <c r="F11" s="32">
        <f t="shared" si="2"/>
        <v>14120</v>
      </c>
      <c r="G11" s="24">
        <f t="shared" si="3"/>
        <v>1412</v>
      </c>
      <c r="H11" s="24">
        <f t="shared" si="4"/>
        <v>0</v>
      </c>
      <c r="I11" s="24">
        <f t="shared" si="5"/>
        <v>254.16</v>
      </c>
      <c r="J11" s="25">
        <f t="shared" si="6"/>
        <v>1666.16</v>
      </c>
      <c r="K11" s="25">
        <f t="shared" si="7"/>
        <v>12453.84</v>
      </c>
      <c r="N11" s="1">
        <v>10</v>
      </c>
      <c r="O11" s="1" t="s">
        <v>35</v>
      </c>
      <c r="P11" s="1">
        <v>10</v>
      </c>
      <c r="R11" s="28"/>
      <c r="S11" s="29"/>
    </row>
    <row r="12" spans="1:22" ht="14.25" customHeight="1" x14ac:dyDescent="0.25">
      <c r="A12" s="1" t="s">
        <v>36</v>
      </c>
      <c r="B12" s="1">
        <v>6</v>
      </c>
      <c r="C12" s="1">
        <v>8</v>
      </c>
      <c r="D12" s="23" t="str">
        <f t="shared" si="0"/>
        <v>faxineiro</v>
      </c>
      <c r="E12" s="23">
        <f t="shared" si="1"/>
        <v>3</v>
      </c>
      <c r="F12" s="32">
        <f t="shared" si="2"/>
        <v>4236</v>
      </c>
      <c r="G12" s="24">
        <f t="shared" si="3"/>
        <v>296.52000000000004</v>
      </c>
      <c r="H12" s="24">
        <f t="shared" si="4"/>
        <v>0</v>
      </c>
      <c r="I12" s="24">
        <f t="shared" si="5"/>
        <v>0</v>
      </c>
      <c r="J12" s="25">
        <f t="shared" si="6"/>
        <v>296.52000000000004</v>
      </c>
      <c r="K12" s="25">
        <f t="shared" si="7"/>
        <v>3939.48</v>
      </c>
      <c r="N12" s="1">
        <v>11</v>
      </c>
      <c r="O12" s="1" t="s">
        <v>37</v>
      </c>
      <c r="P12" s="1">
        <v>10</v>
      </c>
    </row>
    <row r="13" spans="1:22" ht="14.25" customHeight="1" x14ac:dyDescent="0.25">
      <c r="A13" s="1" t="s">
        <v>38</v>
      </c>
      <c r="B13" s="2"/>
      <c r="C13" s="1">
        <v>9</v>
      </c>
      <c r="D13" s="23" t="str">
        <f t="shared" si="0"/>
        <v>Gerente Administrativo</v>
      </c>
      <c r="E13" s="23">
        <f t="shared" si="1"/>
        <v>10</v>
      </c>
      <c r="F13" s="32">
        <f t="shared" si="2"/>
        <v>14120</v>
      </c>
      <c r="G13" s="24">
        <f t="shared" si="3"/>
        <v>1412</v>
      </c>
      <c r="H13" s="24">
        <f t="shared" si="4"/>
        <v>0</v>
      </c>
      <c r="I13" s="24">
        <f t="shared" si="5"/>
        <v>762.48</v>
      </c>
      <c r="J13" s="25">
        <f t="shared" si="6"/>
        <v>2174.48</v>
      </c>
      <c r="K13" s="25">
        <f t="shared" si="7"/>
        <v>11945.52</v>
      </c>
      <c r="N13" s="1">
        <v>12</v>
      </c>
      <c r="O13" s="1" t="s">
        <v>39</v>
      </c>
      <c r="P13" s="1">
        <v>10</v>
      </c>
    </row>
    <row r="14" spans="1:22" ht="14.25" customHeight="1" x14ac:dyDescent="0.25">
      <c r="A14" s="15" t="s">
        <v>40</v>
      </c>
      <c r="B14" s="16"/>
      <c r="C14" s="15">
        <v>16</v>
      </c>
      <c r="D14" s="23" t="str">
        <f t="shared" si="0"/>
        <v>Programador</v>
      </c>
      <c r="E14" s="23">
        <f t="shared" si="1"/>
        <v>9</v>
      </c>
      <c r="F14" s="32">
        <f t="shared" si="2"/>
        <v>12708</v>
      </c>
      <c r="G14" s="24">
        <f t="shared" si="3"/>
        <v>1207.26</v>
      </c>
      <c r="H14" s="24">
        <f t="shared" si="4"/>
        <v>0</v>
      </c>
      <c r="I14" s="24">
        <f t="shared" si="5"/>
        <v>0</v>
      </c>
      <c r="J14" s="25">
        <f t="shared" si="6"/>
        <v>1207.26</v>
      </c>
      <c r="K14" s="25">
        <f t="shared" si="7"/>
        <v>11500.74</v>
      </c>
      <c r="N14" s="1">
        <v>13</v>
      </c>
      <c r="O14" s="1" t="s">
        <v>41</v>
      </c>
      <c r="P14" s="1">
        <v>16</v>
      </c>
    </row>
    <row r="15" spans="1:22" ht="14.25" customHeight="1" x14ac:dyDescent="0.25">
      <c r="A15" s="19"/>
      <c r="B15" s="19"/>
      <c r="C15" s="19"/>
      <c r="D15" s="23"/>
      <c r="E15" s="23"/>
      <c r="F15" s="19"/>
      <c r="G15" s="19"/>
      <c r="H15" s="19"/>
      <c r="I15" s="19"/>
      <c r="J15" s="19"/>
      <c r="K15" s="19"/>
      <c r="N15" s="1">
        <v>14</v>
      </c>
      <c r="O15" s="1" t="s">
        <v>42</v>
      </c>
      <c r="P15" s="1">
        <v>2</v>
      </c>
    </row>
    <row r="16" spans="1:22" ht="14.25" customHeight="1" x14ac:dyDescent="0.25">
      <c r="A16" s="17" t="s">
        <v>43</v>
      </c>
      <c r="B16" s="17" t="s">
        <v>44</v>
      </c>
      <c r="C16" s="18"/>
      <c r="D16" s="23"/>
      <c r="E16" s="23"/>
      <c r="F16" s="18"/>
      <c r="G16" s="18"/>
      <c r="H16" s="18"/>
      <c r="I16" s="18"/>
      <c r="J16" s="18"/>
      <c r="K16" s="18"/>
      <c r="N16" s="1">
        <v>15</v>
      </c>
      <c r="O16" s="1" t="s">
        <v>45</v>
      </c>
      <c r="P16" s="1">
        <v>6</v>
      </c>
    </row>
    <row r="17" spans="1:16" ht="14.25" customHeight="1" x14ac:dyDescent="0.25">
      <c r="A17" s="4"/>
      <c r="B17" s="3" t="s">
        <v>46</v>
      </c>
      <c r="C17" s="2"/>
      <c r="D17" s="2"/>
      <c r="E17" s="23"/>
      <c r="F17" s="2"/>
      <c r="G17" s="2"/>
      <c r="H17" s="2"/>
      <c r="I17" s="2"/>
      <c r="J17" s="2"/>
      <c r="K17" s="2"/>
      <c r="N17" s="1">
        <v>16</v>
      </c>
      <c r="O17" s="1" t="s">
        <v>47</v>
      </c>
      <c r="P17" s="1">
        <v>9</v>
      </c>
    </row>
    <row r="18" spans="1:16" ht="14.25" customHeight="1" x14ac:dyDescent="0.25">
      <c r="N18" s="1">
        <v>17</v>
      </c>
      <c r="O18" s="1" t="s">
        <v>48</v>
      </c>
      <c r="P18" s="1">
        <v>7</v>
      </c>
    </row>
    <row r="19" spans="1:16" ht="14.25" customHeight="1" x14ac:dyDescent="0.25"/>
    <row r="20" spans="1:16" ht="14.25" customHeight="1" x14ac:dyDescent="0.25">
      <c r="A20" s="9" t="s">
        <v>49</v>
      </c>
      <c r="B20" s="10"/>
    </row>
    <row r="21" spans="1:16" ht="14.25" customHeight="1" x14ac:dyDescent="0.25">
      <c r="A21" s="11" t="s">
        <v>50</v>
      </c>
      <c r="B21" s="12"/>
    </row>
    <row r="22" spans="1:16" ht="14.25" customHeight="1" x14ac:dyDescent="0.25">
      <c r="A22" s="11" t="s">
        <v>52</v>
      </c>
      <c r="B22" s="12"/>
    </row>
    <row r="23" spans="1:16" ht="14.25" customHeight="1" x14ac:dyDescent="0.25">
      <c r="A23" s="11" t="s">
        <v>51</v>
      </c>
      <c r="B23" s="12"/>
    </row>
    <row r="24" spans="1:16" ht="14.25" customHeight="1" x14ac:dyDescent="0.25">
      <c r="A24" s="11" t="s">
        <v>53</v>
      </c>
      <c r="B24" s="12"/>
    </row>
    <row r="25" spans="1:16" ht="14.25" customHeight="1" x14ac:dyDescent="0.25">
      <c r="A25" s="13" t="s">
        <v>54</v>
      </c>
      <c r="B25" s="14"/>
    </row>
    <row r="26" spans="1:16" ht="14.25" customHeight="1" x14ac:dyDescent="0.25"/>
    <row r="27" spans="1:16" ht="14.25" customHeight="1" x14ac:dyDescent="0.25"/>
    <row r="28" spans="1:16" ht="14.25" customHeight="1" x14ac:dyDescent="0.25"/>
    <row r="29" spans="1:16" ht="14.25" customHeight="1" x14ac:dyDescent="0.25"/>
    <row r="30" spans="1:16" ht="14.25" customHeight="1" x14ac:dyDescent="0.25"/>
    <row r="31" spans="1:16" ht="14.25" customHeight="1" x14ac:dyDescent="0.25"/>
    <row r="32" spans="1:1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R1:S1"/>
    <mergeCell ref="U1:V1"/>
    <mergeCell ref="R11:S11"/>
    <mergeCell ref="A1:B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Aluno</cp:lastModifiedBy>
  <dcterms:created xsi:type="dcterms:W3CDTF">2017-05-22T12:41:35Z</dcterms:created>
  <dcterms:modified xsi:type="dcterms:W3CDTF">2025-10-16T18:28:46Z</dcterms:modified>
</cp:coreProperties>
</file>